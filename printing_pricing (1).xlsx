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Calculator" sheetId="1" r:id="rId4"/>
  </sheets>
  <definedNames/>
  <calcPr/>
  <extLst>
    <ext uri="GoogleSheetsCustomDataVersion2">
      <go:sheetsCustomData xmlns:go="http://customooxmlschemas.google.com/" r:id="rId5" roundtripDataChecksum="Y/KDN3JBWNqv+pX1VpkFCmNlUWG5WOPQ/Cjb+WTWj7I="/>
    </ext>
  </extLst>
</workbook>
</file>

<file path=xl/sharedStrings.xml><?xml version="1.0" encoding="utf-8"?>
<sst xmlns="http://schemas.openxmlformats.org/spreadsheetml/2006/main" count="83" uniqueCount="65">
  <si>
    <t>Service / Paper Size</t>
  </si>
  <si>
    <t>Material Cost (₱)</t>
  </si>
  <si>
    <t>Mat Cost
Percentage</t>
  </si>
  <si>
    <t>Ink Cost (₱)</t>
  </si>
  <si>
    <t>Ink Cost
Percentage</t>
  </si>
  <si>
    <t>Overhead (₱)</t>
  </si>
  <si>
    <t>Overhead
Percentage</t>
  </si>
  <si>
    <t>Total Cost (₱)</t>
  </si>
  <si>
    <t>COST 
PERCENTAGE</t>
  </si>
  <si>
    <t>Price (₱)</t>
  </si>
  <si>
    <t>Profit (₱)</t>
  </si>
  <si>
    <t>Profit Margin (%)</t>
  </si>
  <si>
    <t>Status</t>
  </si>
  <si>
    <t>PRINTING SHOP — PRICING CALCULATOR</t>
  </si>
  <si>
    <t>Short — B&amp;W</t>
  </si>
  <si>
    <t>► SHARED OVERHEAD INPUTS  (blue cells = change these)</t>
  </si>
  <si>
    <t>Short — Colored</t>
  </si>
  <si>
    <t>Staff/mo (₱)</t>
  </si>
  <si>
    <t>Electricity/mo (₱)</t>
  </si>
  <si>
    <t>Maintenance/mo (₱)</t>
  </si>
  <si>
    <t>Jobs/mo (est.)</t>
  </si>
  <si>
    <t>RENT</t>
  </si>
  <si>
    <t>Overhead per Job (₱)</t>
  </si>
  <si>
    <t>Long — B&amp;W</t>
  </si>
  <si>
    <t>Long — Colored</t>
  </si>
  <si>
    <t>A4 — B&amp;W</t>
  </si>
  <si>
    <t>LEGEND:  ✔ Great = 50%+   ✔ Good = 35–50%   △ OK = 20–35%   ✘ Low = below 20%   |   Blue cells = inputs you can edit</t>
  </si>
  <si>
    <t>A4 — Colored</t>
  </si>
  <si>
    <t>NOTE: Change any blue cell (Material Cost, Ink Cost, Price, or Overhead inputs) and all calculations update automatically.</t>
  </si>
  <si>
    <t>A4 — Photoprint</t>
  </si>
  <si>
    <t>4R — Photoprint</t>
  </si>
  <si>
    <t>FOLLOW WHEN NEGOTIATING:</t>
  </si>
  <si>
    <t>4R — Rush ID</t>
  </si>
  <si>
    <t>Low-effort, low-volume = 20–30% profit margin</t>
  </si>
  <si>
    <t>3R — Photoprint</t>
  </si>
  <si>
    <t>High-volume, low-effort services (B&amp;W printing, photocopying) = 20–35% profit margin</t>
  </si>
  <si>
    <t>2R — Photoprint</t>
  </si>
  <si>
    <t>Mid-effort services (color printing, stickers, flyers, certificates) = 35–50% profit margin</t>
  </si>
  <si>
    <r>
      <rPr>
        <rFont val="Arial"/>
        <b/>
        <color rgb="FF000000"/>
        <sz val="10.0"/>
      </rPr>
      <t xml:space="preserve">A4 Glossy - </t>
    </r>
    <r>
      <rPr>
        <rFont val="Arial"/>
        <b/>
        <color theme="9"/>
        <sz val="10.0"/>
      </rPr>
      <t>STICKER</t>
    </r>
  </si>
  <si>
    <t>High-effort, low-frequency services (Sintra signage, professional cards, photo prints) = 50–70% profit margin</t>
  </si>
  <si>
    <r>
      <rPr>
        <rFont val="Arial"/>
        <b/>
        <color rgb="FF000000"/>
        <sz val="10.0"/>
      </rPr>
      <t xml:space="preserve">A4 Matte - </t>
    </r>
    <r>
      <rPr>
        <rFont val="Arial"/>
        <b/>
        <color rgb="FFF79646"/>
        <sz val="10.0"/>
      </rPr>
      <t xml:space="preserve">STICKER </t>
    </r>
  </si>
  <si>
    <t>Zero material cost services (Scan to PDF) = price on time/convenience, margin is naturally very high</t>
  </si>
  <si>
    <r>
      <rPr>
        <rFont val="Arial"/>
        <b/>
        <color rgb="FF000000"/>
        <sz val="10.0"/>
      </rPr>
      <t xml:space="preserve">Inkjet Vinyl A4 white matte - </t>
    </r>
    <r>
      <rPr>
        <rFont val="Arial"/>
        <b/>
        <color theme="9"/>
        <sz val="10.0"/>
      </rPr>
      <t>STICKER</t>
    </r>
  </si>
  <si>
    <r>
      <rPr>
        <rFont val="Arial"/>
        <b/>
        <color theme="9"/>
        <sz val="10.0"/>
      </rPr>
      <t>Photo Top</t>
    </r>
    <r>
      <rPr>
        <rFont val="Arial"/>
        <b/>
        <color rgb="FF000000"/>
        <sz val="10.0"/>
      </rPr>
      <t xml:space="preserve"> Cold Laminating Film A4</t>
    </r>
  </si>
  <si>
    <r>
      <rPr>
        <rFont val="Arial"/>
        <b/>
        <color rgb="FF000000"/>
        <sz val="10.0"/>
      </rPr>
      <t xml:space="preserve"> Specialty/Board paper A4 pale cream </t>
    </r>
    <r>
      <rPr>
        <rFont val="Arial"/>
        <b/>
        <color theme="9"/>
        <sz val="10.0"/>
      </rPr>
      <t>- Cert &amp; Awards</t>
    </r>
  </si>
  <si>
    <r>
      <rPr>
        <rFont val="Arial"/>
        <b/>
        <color rgb="FF000000"/>
        <sz val="10.0"/>
      </rPr>
      <t xml:space="preserve"> Parchment Paper A4 - </t>
    </r>
    <r>
      <rPr>
        <rFont val="Arial"/>
        <b/>
        <color rgb="FFF79646"/>
        <sz val="10.0"/>
      </rPr>
      <t>Cert &amp; Awards</t>
    </r>
  </si>
  <si>
    <t>FOR QUOTINGS</t>
  </si>
  <si>
    <r>
      <rPr>
        <rFont val="Arial"/>
        <b/>
        <color rgb="FF000000"/>
        <sz val="10.0"/>
      </rPr>
      <t xml:space="preserve">Linen Fino White Linen A4 </t>
    </r>
    <r>
      <rPr>
        <rFont val="Arial"/>
        <b/>
        <color theme="9"/>
        <sz val="10.0"/>
      </rPr>
      <t>- Cert &amp; Awards</t>
    </r>
  </si>
  <si>
    <r>
      <rPr>
        <rFont val="Arial"/>
        <b/>
        <color rgb="FF000000"/>
        <sz val="10.0"/>
      </rPr>
      <t>BOOK BIND - PAPER 220 SHEETS
- Staple Bind</t>
    </r>
    <r>
      <rPr>
        <rFont val="Arial"/>
        <b/>
        <color rgb="FFF79646"/>
        <sz val="10.0"/>
      </rPr>
      <t xml:space="preserve"> book binding
</t>
    </r>
    <r>
      <rPr>
        <rFont val="Arial"/>
        <b/>
        <color rgb="FF000000"/>
        <sz val="10.0"/>
      </rPr>
      <t>- + COVER MISCELLANEOUS</t>
    </r>
  </si>
  <si>
    <t>Double Sided glossy photo paper A4</t>
  </si>
  <si>
    <t>Business Card</t>
  </si>
  <si>
    <t>Inkjet Paper for Button Pin &amp; flyers A4</t>
  </si>
  <si>
    <t>C2s paper for Magazine 120gsm</t>
  </si>
  <si>
    <r>
      <rPr>
        <rFont val="Arial"/>
        <b/>
        <color theme="9"/>
        <sz val="10.0"/>
      </rPr>
      <t>Hot Laminate Film</t>
    </r>
    <r>
      <rPr>
        <rFont val="Arial"/>
        <b/>
        <color rgb="FF000000"/>
        <sz val="10.0"/>
      </rPr>
      <t xml:space="preserve"> A4</t>
    </r>
  </si>
  <si>
    <r>
      <rPr>
        <rFont val="Arial"/>
        <b/>
        <color theme="9"/>
        <sz val="10.0"/>
      </rPr>
      <t>Hot Laminate FIlm</t>
    </r>
    <r>
      <rPr>
        <rFont val="Arial"/>
        <b/>
        <color rgb="FF000000"/>
        <sz val="10.0"/>
      </rPr>
      <t xml:space="preserve"> Half A4</t>
    </r>
  </si>
  <si>
    <r>
      <rPr>
        <rFont val="Arial"/>
        <b/>
        <color rgb="FFF79646"/>
        <sz val="10.0"/>
      </rPr>
      <t>Hot Laminate FIlm</t>
    </r>
    <r>
      <rPr>
        <rFont val="Arial"/>
        <b/>
        <color rgb="FF000000"/>
        <sz val="10.0"/>
      </rPr>
      <t xml:space="preserve"> ID SIZE </t>
    </r>
  </si>
  <si>
    <r>
      <rPr>
        <rFont val="Arial"/>
        <b/>
        <color theme="9"/>
        <sz val="10.0"/>
      </rPr>
      <t>Sintra Board</t>
    </r>
    <r>
      <rPr>
        <rFont val="Arial"/>
        <b/>
        <color rgb="FF000000"/>
        <sz val="10.0"/>
      </rPr>
      <t xml:space="preserve"> with Sticker</t>
    </r>
  </si>
  <si>
    <t xml:space="preserve">Invitation Card Passport style </t>
  </si>
  <si>
    <t>Mat Cost %
Mean: 19.33%
Median: 12.80%
Ink Cost %
Mean: 14.31%
Median: 12.50%</t>
  </si>
  <si>
    <r>
      <rPr>
        <rFont val="Arial"/>
        <b/>
        <color rgb="FF000000"/>
        <sz val="10.0"/>
      </rPr>
      <t>Stickup Glue</t>
    </r>
    <r>
      <rPr>
        <rFont val="Arial"/>
        <b/>
        <color rgb="FFF79646"/>
        <sz val="10.0"/>
      </rPr>
      <t xml:space="preserve"> book binding 100ml</t>
    </r>
  </si>
  <si>
    <r>
      <rPr>
        <rFont val="Arial"/>
        <b/>
        <color rgb="FF000000"/>
        <sz val="10.0"/>
      </rPr>
      <t>Book Glue</t>
    </r>
    <r>
      <rPr>
        <rFont val="Arial"/>
        <b/>
        <color rgb="FFF79646"/>
        <sz val="10.0"/>
      </rPr>
      <t xml:space="preserve"> book binding 60ml</t>
    </r>
  </si>
  <si>
    <r>
      <rPr>
        <rFont val="Arial"/>
        <b/>
        <color rgb="FF000000"/>
        <sz val="10.0"/>
      </rPr>
      <t>Staple Bind</t>
    </r>
    <r>
      <rPr>
        <rFont val="Arial"/>
        <b/>
        <color rgb="FFF79646"/>
        <sz val="10.0"/>
      </rPr>
      <t xml:space="preserve"> book binding</t>
    </r>
  </si>
  <si>
    <t>Holographic Rainbow 20 shts photo top</t>
  </si>
  <si>
    <t>Matte paper double sided</t>
  </si>
  <si>
    <t>Gray Board/ chip 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</si>
</sst>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\₱#,##0.00"/>
  </numFmts>
  <fonts count="20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rgb="FFFFFFFF"/>
      <name val="Arial"/>
    </font>
    <font/>
    <font>
      <b/>
      <sz val="10.0"/>
      <color rgb="FF000000"/>
      <name val="Arial"/>
    </font>
    <font>
      <sz val="10.0"/>
      <color rgb="FF0000FF"/>
      <name val="Arial"/>
    </font>
    <font>
      <sz val="10.0"/>
      <color rgb="FF000000"/>
      <name val="Arial"/>
    </font>
    <font>
      <sz val="10.0"/>
      <color rgb="FF008000"/>
      <name val="Arial"/>
    </font>
    <font>
      <color theme="1"/>
      <name val="Calibri"/>
      <scheme val="minor"/>
    </font>
    <font>
      <b/>
      <sz val="10.0"/>
      <color rgb="FF0000FF"/>
      <name val="Arial"/>
    </font>
    <font>
      <b/>
      <sz val="10.0"/>
      <color theme="1"/>
      <name val="Arial"/>
    </font>
    <font>
      <b/>
      <sz val="10.0"/>
      <color rgb="FF2E4057"/>
      <name val="Arial"/>
    </font>
    <font>
      <b/>
      <sz val="9.0"/>
      <color rgb="FFFFFFFF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i/>
      <sz val="9.0"/>
      <color rgb="FF555555"/>
      <name val="Arial"/>
    </font>
    <font>
      <i/>
      <sz val="9.0"/>
      <color rgb="FF2E4057"/>
      <name val="Arial"/>
    </font>
    <font>
      <b/>
      <sz val="22.0"/>
      <color rgb="FF00FF00"/>
      <name val="Calibri"/>
    </font>
    <font>
      <b/>
      <sz val="11.0"/>
      <color theme="1"/>
      <name val="Calibri"/>
    </font>
    <font>
      <b/>
      <sz val="10.0"/>
      <color rgb="FFF7964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F8F9FA"/>
        <bgColor rgb="FFF8F9FA"/>
      </patternFill>
    </fill>
    <fill>
      <patternFill patternType="solid">
        <fgColor rgb="FFEBF5FB"/>
        <bgColor rgb="FFEBF5FB"/>
      </patternFill>
    </fill>
    <fill>
      <patternFill patternType="solid">
        <fgColor rgb="FFEAF4E8"/>
        <bgColor rgb="FFEAF4E8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FFDE7"/>
        <bgColor rgb="FFFFFDE7"/>
      </patternFill>
    </fill>
  </fills>
  <borders count="6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1" fillId="4" fontId="5" numFmtId="2" xfId="0" applyAlignment="1" applyBorder="1" applyFill="1" applyFont="1" applyNumberFormat="1">
      <alignment horizontal="center" shrinkToFit="0" vertical="center" wrapText="1"/>
    </xf>
    <xf borderId="1" fillId="3" fontId="6" numFmtId="2" xfId="0" applyAlignment="1" applyBorder="1" applyFont="1" applyNumberFormat="1">
      <alignment horizontal="center" shrinkToFit="0" vertical="center" wrapText="1"/>
    </xf>
    <xf borderId="1" fillId="5" fontId="7" numFmtId="2" xfId="0" applyAlignment="1" applyBorder="1" applyFill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" fillId="4" fontId="9" numFmtId="2" xfId="0" applyAlignment="1" applyBorder="1" applyFont="1" applyNumberFormat="1">
      <alignment horizontal="center" shrinkToFit="0" vertical="center" wrapText="1"/>
    </xf>
    <xf borderId="1" fillId="3" fontId="10" numFmtId="164" xfId="0" applyAlignment="1" applyBorder="1" applyFont="1" applyNumberForma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6" fontId="11" numFmtId="0" xfId="0" applyAlignment="1" applyBorder="1" applyFill="1" applyFont="1">
      <alignment horizontal="left" shrinkToFit="0" vertical="center" wrapText="1"/>
    </xf>
    <xf borderId="1" fillId="7" fontId="4" numFmtId="0" xfId="0" applyAlignment="1" applyBorder="1" applyFill="1" applyFont="1">
      <alignment horizontal="left" shrinkToFit="0" vertical="center" wrapText="1"/>
    </xf>
    <xf borderId="1" fillId="7" fontId="6" numFmtId="2" xfId="0" applyAlignment="1" applyBorder="1" applyFont="1" applyNumberFormat="1">
      <alignment horizontal="center" shrinkToFit="0" vertical="center" wrapText="1"/>
    </xf>
    <xf borderId="1" fillId="7" fontId="10" numFmtId="164" xfId="0" applyAlignment="1" applyBorder="1" applyFont="1" applyNumberForma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shrinkToFit="0" vertical="center" wrapText="1"/>
    </xf>
    <xf borderId="5" fillId="2" fontId="12" numFmtId="0" xfId="0" applyAlignment="1" applyBorder="1" applyFont="1">
      <alignment horizontal="center" readingOrder="0" shrinkToFit="0" vertical="center" wrapText="1"/>
    </xf>
    <xf borderId="1" fillId="4" fontId="13" numFmtId="3" xfId="0" applyAlignment="1" applyBorder="1" applyFont="1" applyNumberFormat="1">
      <alignment horizontal="center" shrinkToFit="0" vertical="center" wrapText="1"/>
    </xf>
    <xf borderId="1" fillId="4" fontId="13" numFmtId="3" xfId="0" applyAlignment="1" applyBorder="1" applyFont="1" applyNumberFormat="1">
      <alignment horizontal="center" readingOrder="0" shrinkToFit="0" vertical="center" wrapText="1"/>
    </xf>
    <xf borderId="1" fillId="4" fontId="13" numFmtId="9" xfId="0" applyAlignment="1" applyBorder="1" applyFont="1" applyNumberFormat="1">
      <alignment horizontal="center" readingOrder="0" shrinkToFit="0" vertical="center" wrapText="1"/>
    </xf>
    <xf borderId="1" fillId="5" fontId="14" numFmtId="165" xfId="0" applyAlignment="1" applyBorder="1" applyFont="1" applyNumberFormat="1">
      <alignment horizontal="center" shrinkToFit="0" vertical="center" wrapText="1"/>
    </xf>
    <xf borderId="1" fillId="4" fontId="9" numFmtId="2" xfId="0" applyAlignment="1" applyBorder="1" applyFont="1" applyNumberFormat="1">
      <alignment horizontal="center" readingOrder="0" shrinkToFit="0" vertical="center" wrapText="1"/>
    </xf>
    <xf borderId="2" fillId="8" fontId="15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1" fillId="7" fontId="4" numFmtId="0" xfId="0" applyAlignment="1" applyBorder="1" applyFont="1">
      <alignment horizontal="left" readingOrder="0" shrinkToFit="0" vertical="center" wrapText="1"/>
    </xf>
    <xf borderId="1" fillId="4" fontId="5" numFmtId="2" xfId="0" applyAlignment="1" applyBorder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8" numFmtId="0" xfId="0" applyAlignment="1" applyFont="1">
      <alignment readingOrder="0"/>
    </xf>
    <xf borderId="1" fillId="7" fontId="19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8.43"/>
    <col customWidth="1" min="2" max="2" width="14.0"/>
    <col customWidth="1" min="3" max="6" width="12.0"/>
    <col customWidth="1" min="7" max="8" width="14.0"/>
    <col customWidth="1" min="9" max="9" width="15.29"/>
    <col customWidth="1" min="10" max="11" width="13.0"/>
    <col customWidth="1" min="12" max="13" width="15.0"/>
    <col customWidth="1" min="14" max="14" width="8.71"/>
    <col customWidth="1" min="15" max="15" width="56.0"/>
    <col customWidth="1" min="16" max="30" width="8.71"/>
  </cols>
  <sheetData>
    <row r="1" ht="25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 t="s">
        <v>13</v>
      </c>
      <c r="P1" s="4"/>
      <c r="Q1" s="4"/>
      <c r="R1" s="4"/>
      <c r="S1" s="4"/>
      <c r="T1" s="4"/>
      <c r="U1" s="4"/>
      <c r="V1" s="4"/>
      <c r="W1" s="5"/>
    </row>
    <row r="2">
      <c r="A2" s="6" t="s">
        <v>14</v>
      </c>
      <c r="B2" s="7">
        <v>0.44</v>
      </c>
      <c r="C2" s="8" t="str">
        <f t="shared" ref="C2:C20" si="1">TEXT(B2 / J2, "0.00%")</f>
        <v>11.00%</v>
      </c>
      <c r="D2" s="7">
        <v>1.0</v>
      </c>
      <c r="E2" s="8" t="str">
        <f t="shared" ref="E2:E34" si="2">TEXT(D2 / J2, "0.00%")</f>
        <v>25.00%</v>
      </c>
      <c r="F2" s="9">
        <v>1.0</v>
      </c>
      <c r="G2" s="8" t="str">
        <f t="shared" ref="G2:G34" si="3">TEXT(F2 / J2, "0.00%")</f>
        <v>25.00%</v>
      </c>
      <c r="H2" s="8">
        <f t="shared" ref="H2:H20" si="4">B2+D2+F2</f>
        <v>2.44</v>
      </c>
      <c r="I2" s="10" t="str">
        <f t="shared" ref="I2:I34" si="5">TEXT(H2 / J2, "0.00%")</f>
        <v>61.00%</v>
      </c>
      <c r="J2" s="11">
        <v>4.0</v>
      </c>
      <c r="K2" s="8">
        <f t="shared" ref="K2:K34" si="6">J2-H2</f>
        <v>1.56</v>
      </c>
      <c r="L2" s="12">
        <f t="shared" ref="L2:L34" si="7">IF(J2&gt;0,(J2-H2)/J2,0)</f>
        <v>0.39</v>
      </c>
      <c r="M2" s="13" t="str">
        <f t="shared" ref="M2:M34" si="8">IF(L2&gt;=0.5,"✔ Great",IF(L2&gt;=0.35,"✔ Good",IF(L2&gt;=0.2,"△ OK","✘ Low")))</f>
        <v>✔ Good</v>
      </c>
      <c r="O2" s="14" t="s">
        <v>15</v>
      </c>
      <c r="P2" s="4"/>
      <c r="Q2" s="4"/>
      <c r="R2" s="4"/>
      <c r="S2" s="4"/>
      <c r="T2" s="4"/>
      <c r="U2" s="4"/>
      <c r="V2" s="4"/>
      <c r="W2" s="5"/>
    </row>
    <row r="3" ht="27.75" customHeight="1">
      <c r="A3" s="15" t="s">
        <v>16</v>
      </c>
      <c r="B3" s="7">
        <v>0.44</v>
      </c>
      <c r="C3" s="8" t="str">
        <f t="shared" si="1"/>
        <v>6.29%</v>
      </c>
      <c r="D3" s="7">
        <v>2.0</v>
      </c>
      <c r="E3" s="8" t="str">
        <f t="shared" si="2"/>
        <v>28.57%</v>
      </c>
      <c r="F3" s="9">
        <v>1.8</v>
      </c>
      <c r="G3" s="8" t="str">
        <f t="shared" si="3"/>
        <v>25.71%</v>
      </c>
      <c r="H3" s="16">
        <f t="shared" si="4"/>
        <v>4.24</v>
      </c>
      <c r="I3" s="10" t="str">
        <f t="shared" si="5"/>
        <v>60.57%</v>
      </c>
      <c r="J3" s="11">
        <v>7.0</v>
      </c>
      <c r="K3" s="16">
        <f t="shared" si="6"/>
        <v>2.76</v>
      </c>
      <c r="L3" s="17">
        <f t="shared" si="7"/>
        <v>0.3942857143</v>
      </c>
      <c r="M3" s="18" t="str">
        <f t="shared" si="8"/>
        <v>✔ Good</v>
      </c>
      <c r="O3" s="19" t="s">
        <v>17</v>
      </c>
      <c r="P3" s="19" t="s">
        <v>18</v>
      </c>
      <c r="Q3" s="19" t="s">
        <v>19</v>
      </c>
      <c r="R3" s="19" t="s">
        <v>20</v>
      </c>
      <c r="S3" s="20" t="s">
        <v>21</v>
      </c>
      <c r="T3" s="19" t="s">
        <v>22</v>
      </c>
      <c r="U3" s="19" t="s">
        <v>22</v>
      </c>
    </row>
    <row r="4" ht="24.0" customHeight="1">
      <c r="A4" s="6" t="s">
        <v>23</v>
      </c>
      <c r="B4" s="7">
        <v>0.57</v>
      </c>
      <c r="C4" s="8" t="str">
        <f t="shared" si="1"/>
        <v>11.40%</v>
      </c>
      <c r="D4" s="7">
        <v>1.0</v>
      </c>
      <c r="E4" s="8" t="str">
        <f t="shared" si="2"/>
        <v>20.00%</v>
      </c>
      <c r="F4" s="9">
        <v>1.28</v>
      </c>
      <c r="G4" s="8" t="str">
        <f t="shared" si="3"/>
        <v>25.60%</v>
      </c>
      <c r="H4" s="8">
        <f t="shared" si="4"/>
        <v>2.85</v>
      </c>
      <c r="I4" s="10" t="str">
        <f t="shared" si="5"/>
        <v>57.00%</v>
      </c>
      <c r="J4" s="11">
        <v>5.0</v>
      </c>
      <c r="K4" s="8">
        <f t="shared" si="6"/>
        <v>2.15</v>
      </c>
      <c r="L4" s="12">
        <f t="shared" si="7"/>
        <v>0.43</v>
      </c>
      <c r="M4" s="13" t="str">
        <f t="shared" si="8"/>
        <v>✔ Good</v>
      </c>
      <c r="O4" s="21">
        <v>3000.0</v>
      </c>
      <c r="P4" s="21">
        <v>1000.0</v>
      </c>
      <c r="Q4" s="21">
        <v>500.0</v>
      </c>
      <c r="R4" s="22">
        <v>100.0</v>
      </c>
      <c r="S4" s="23">
        <v>0.08</v>
      </c>
      <c r="T4" s="24">
        <f>(O4+P4+Q4)/R4</f>
        <v>45</v>
      </c>
    </row>
    <row r="5" ht="27.0" customHeight="1">
      <c r="A5" s="15" t="s">
        <v>24</v>
      </c>
      <c r="B5" s="7">
        <v>0.57</v>
      </c>
      <c r="C5" s="8" t="str">
        <f t="shared" si="1"/>
        <v>7.13%</v>
      </c>
      <c r="D5" s="7">
        <v>2.0</v>
      </c>
      <c r="E5" s="8" t="str">
        <f t="shared" si="2"/>
        <v>25.00%</v>
      </c>
      <c r="F5" s="9">
        <v>2.0</v>
      </c>
      <c r="G5" s="8" t="str">
        <f t="shared" si="3"/>
        <v>25.00%</v>
      </c>
      <c r="H5" s="16">
        <f t="shared" si="4"/>
        <v>4.57</v>
      </c>
      <c r="I5" s="10" t="str">
        <f t="shared" si="5"/>
        <v>57.13%</v>
      </c>
      <c r="J5" s="11">
        <v>8.0</v>
      </c>
      <c r="K5" s="16">
        <f t="shared" si="6"/>
        <v>3.43</v>
      </c>
      <c r="L5" s="17">
        <f t="shared" si="7"/>
        <v>0.42875</v>
      </c>
      <c r="M5" s="18" t="str">
        <f t="shared" si="8"/>
        <v>✔ Good</v>
      </c>
    </row>
    <row r="6" ht="36.0" customHeight="1">
      <c r="A6" s="6" t="s">
        <v>25</v>
      </c>
      <c r="B6" s="7">
        <v>0.47</v>
      </c>
      <c r="C6" s="8" t="str">
        <f t="shared" si="1"/>
        <v>11.75%</v>
      </c>
      <c r="D6" s="7">
        <v>1.0</v>
      </c>
      <c r="E6" s="8" t="str">
        <f t="shared" si="2"/>
        <v>25.00%</v>
      </c>
      <c r="F6" s="9">
        <v>1.0</v>
      </c>
      <c r="G6" s="8" t="str">
        <f t="shared" si="3"/>
        <v>25.00%</v>
      </c>
      <c r="H6" s="8">
        <f t="shared" si="4"/>
        <v>2.47</v>
      </c>
      <c r="I6" s="10" t="str">
        <f t="shared" si="5"/>
        <v>61.75%</v>
      </c>
      <c r="J6" s="25">
        <v>4.0</v>
      </c>
      <c r="K6" s="8">
        <f t="shared" si="6"/>
        <v>1.53</v>
      </c>
      <c r="L6" s="12">
        <f t="shared" si="7"/>
        <v>0.3825</v>
      </c>
      <c r="M6" s="13" t="str">
        <f t="shared" si="8"/>
        <v>✔ Good</v>
      </c>
      <c r="O6" s="26" t="s">
        <v>26</v>
      </c>
      <c r="P6" s="4"/>
      <c r="Q6" s="4"/>
      <c r="R6" s="4"/>
      <c r="S6" s="4"/>
      <c r="T6" s="4"/>
      <c r="U6" s="4"/>
      <c r="V6" s="4"/>
      <c r="W6" s="5"/>
    </row>
    <row r="7" ht="21.75" customHeight="1">
      <c r="A7" s="15" t="s">
        <v>27</v>
      </c>
      <c r="B7" s="7">
        <v>0.47</v>
      </c>
      <c r="C7" s="8" t="str">
        <f t="shared" si="1"/>
        <v>6.71%</v>
      </c>
      <c r="D7" s="7">
        <v>2.0</v>
      </c>
      <c r="E7" s="8" t="str">
        <f t="shared" si="2"/>
        <v>28.57%</v>
      </c>
      <c r="F7" s="9">
        <v>1.8</v>
      </c>
      <c r="G7" s="8" t="str">
        <f t="shared" si="3"/>
        <v>25.71%</v>
      </c>
      <c r="H7" s="16">
        <f t="shared" si="4"/>
        <v>4.27</v>
      </c>
      <c r="I7" s="10" t="str">
        <f t="shared" si="5"/>
        <v>61.00%</v>
      </c>
      <c r="J7" s="25">
        <v>7.0</v>
      </c>
      <c r="K7" s="16">
        <f t="shared" si="6"/>
        <v>2.73</v>
      </c>
      <c r="L7" s="17">
        <f t="shared" si="7"/>
        <v>0.39</v>
      </c>
      <c r="M7" s="18" t="str">
        <f t="shared" si="8"/>
        <v>✔ Good</v>
      </c>
      <c r="O7" s="27" t="s">
        <v>28</v>
      </c>
    </row>
    <row r="8" ht="21.75" customHeight="1">
      <c r="A8" s="28" t="s">
        <v>29</v>
      </c>
      <c r="B8" s="29">
        <v>8.7</v>
      </c>
      <c r="C8" s="8" t="str">
        <f t="shared" si="1"/>
        <v>17.40%</v>
      </c>
      <c r="D8" s="29">
        <v>5.0</v>
      </c>
      <c r="E8" s="8" t="str">
        <f t="shared" si="2"/>
        <v>10.00%</v>
      </c>
      <c r="F8" s="9">
        <v>13.0</v>
      </c>
      <c r="G8" s="8" t="str">
        <f t="shared" si="3"/>
        <v>26.00%</v>
      </c>
      <c r="H8" s="16">
        <f t="shared" si="4"/>
        <v>26.7</v>
      </c>
      <c r="I8" s="10" t="str">
        <f t="shared" si="5"/>
        <v>53.40%</v>
      </c>
      <c r="J8" s="25">
        <v>50.0</v>
      </c>
      <c r="K8" s="16">
        <f t="shared" si="6"/>
        <v>23.3</v>
      </c>
      <c r="L8" s="17">
        <f t="shared" si="7"/>
        <v>0.466</v>
      </c>
      <c r="M8" s="18" t="str">
        <f t="shared" si="8"/>
        <v>✔ Good</v>
      </c>
    </row>
    <row r="9" ht="32.25" customHeight="1">
      <c r="A9" s="28" t="s">
        <v>30</v>
      </c>
      <c r="B9" s="29">
        <v>4.15</v>
      </c>
      <c r="C9" s="8" t="str">
        <f t="shared" si="1"/>
        <v>20.75%</v>
      </c>
      <c r="D9" s="29">
        <v>3.0</v>
      </c>
      <c r="E9" s="8" t="str">
        <f t="shared" si="2"/>
        <v>15.00%</v>
      </c>
      <c r="F9" s="9">
        <v>5.0</v>
      </c>
      <c r="G9" s="8" t="str">
        <f t="shared" si="3"/>
        <v>25.00%</v>
      </c>
      <c r="H9" s="16">
        <f t="shared" si="4"/>
        <v>12.15</v>
      </c>
      <c r="I9" s="10" t="str">
        <f t="shared" si="5"/>
        <v>60.75%</v>
      </c>
      <c r="J9" s="25">
        <v>20.0</v>
      </c>
      <c r="K9" s="16">
        <f t="shared" si="6"/>
        <v>7.85</v>
      </c>
      <c r="L9" s="17">
        <f t="shared" si="7"/>
        <v>0.3925</v>
      </c>
      <c r="M9" s="18" t="str">
        <f t="shared" si="8"/>
        <v>✔ Good</v>
      </c>
      <c r="O9" s="30" t="s">
        <v>31</v>
      </c>
    </row>
    <row r="10" ht="43.5" customHeight="1">
      <c r="A10" s="28" t="s">
        <v>32</v>
      </c>
      <c r="B10" s="29">
        <v>4.15</v>
      </c>
      <c r="C10" s="8" t="str">
        <f t="shared" si="1"/>
        <v>8.30%</v>
      </c>
      <c r="D10" s="29">
        <v>3.0</v>
      </c>
      <c r="E10" s="8" t="str">
        <f t="shared" si="2"/>
        <v>6.00%</v>
      </c>
      <c r="F10" s="9">
        <v>12.5</v>
      </c>
      <c r="G10" s="8" t="str">
        <f t="shared" si="3"/>
        <v>25.00%</v>
      </c>
      <c r="H10" s="16">
        <f t="shared" si="4"/>
        <v>19.65</v>
      </c>
      <c r="I10" s="10" t="str">
        <f t="shared" si="5"/>
        <v>39.30%</v>
      </c>
      <c r="J10" s="25">
        <v>50.0</v>
      </c>
      <c r="K10" s="16">
        <f t="shared" si="6"/>
        <v>30.35</v>
      </c>
      <c r="L10" s="17">
        <f t="shared" si="7"/>
        <v>0.607</v>
      </c>
      <c r="M10" s="18" t="str">
        <f t="shared" si="8"/>
        <v>✔ Great</v>
      </c>
      <c r="O10" s="31" t="s">
        <v>33</v>
      </c>
    </row>
    <row r="11" ht="42.0" customHeight="1">
      <c r="A11" s="28" t="s">
        <v>34</v>
      </c>
      <c r="B11" s="29">
        <v>4.1</v>
      </c>
      <c r="C11" s="8" t="str">
        <f t="shared" si="1"/>
        <v>27.33%</v>
      </c>
      <c r="D11" s="29">
        <v>3.0</v>
      </c>
      <c r="E11" s="8" t="str">
        <f t="shared" si="2"/>
        <v>20.00%</v>
      </c>
      <c r="F11" s="9">
        <v>4.0</v>
      </c>
      <c r="G11" s="8" t="str">
        <f t="shared" si="3"/>
        <v>26.67%</v>
      </c>
      <c r="H11" s="16">
        <f t="shared" si="4"/>
        <v>11.1</v>
      </c>
      <c r="I11" s="10" t="str">
        <f t="shared" si="5"/>
        <v>74.00%</v>
      </c>
      <c r="J11" s="25">
        <v>15.0</v>
      </c>
      <c r="K11" s="16">
        <f t="shared" si="6"/>
        <v>3.9</v>
      </c>
      <c r="L11" s="17">
        <f t="shared" si="7"/>
        <v>0.26</v>
      </c>
      <c r="M11" s="18" t="str">
        <f t="shared" si="8"/>
        <v>△ OK</v>
      </c>
      <c r="O11" s="32" t="s">
        <v>35</v>
      </c>
    </row>
    <row r="12" ht="60.0" customHeight="1">
      <c r="A12" s="28" t="s">
        <v>36</v>
      </c>
      <c r="B12" s="29">
        <v>0.325</v>
      </c>
      <c r="C12" s="8" t="str">
        <f t="shared" si="1"/>
        <v>4.06%</v>
      </c>
      <c r="D12" s="29">
        <v>1.0</v>
      </c>
      <c r="E12" s="8" t="str">
        <f t="shared" si="2"/>
        <v>12.50%</v>
      </c>
      <c r="F12" s="9">
        <v>2.0</v>
      </c>
      <c r="G12" s="8" t="str">
        <f t="shared" si="3"/>
        <v>25.00%</v>
      </c>
      <c r="H12" s="16">
        <f t="shared" si="4"/>
        <v>3.325</v>
      </c>
      <c r="I12" s="10" t="str">
        <f t="shared" si="5"/>
        <v>41.56%</v>
      </c>
      <c r="J12" s="25">
        <v>8.0</v>
      </c>
      <c r="K12" s="16">
        <f t="shared" si="6"/>
        <v>4.675</v>
      </c>
      <c r="L12" s="17">
        <f t="shared" si="7"/>
        <v>0.584375</v>
      </c>
      <c r="M12" s="18" t="str">
        <f t="shared" si="8"/>
        <v>✔ Great</v>
      </c>
      <c r="O12" s="32" t="s">
        <v>37</v>
      </c>
    </row>
    <row r="13" ht="66.75" customHeight="1">
      <c r="A13" s="28" t="s">
        <v>38</v>
      </c>
      <c r="B13" s="29">
        <v>4.36</v>
      </c>
      <c r="C13" s="8" t="str">
        <f t="shared" si="1"/>
        <v>9.69%</v>
      </c>
      <c r="D13" s="29">
        <v>5.0</v>
      </c>
      <c r="E13" s="8" t="str">
        <f t="shared" si="2"/>
        <v>11.11%</v>
      </c>
      <c r="F13" s="9">
        <v>12.0</v>
      </c>
      <c r="G13" s="8" t="str">
        <f t="shared" si="3"/>
        <v>26.67%</v>
      </c>
      <c r="H13" s="16">
        <f t="shared" si="4"/>
        <v>21.36</v>
      </c>
      <c r="I13" s="10" t="str">
        <f t="shared" si="5"/>
        <v>47.47%</v>
      </c>
      <c r="J13" s="25">
        <v>45.0</v>
      </c>
      <c r="K13" s="16">
        <f t="shared" si="6"/>
        <v>23.64</v>
      </c>
      <c r="L13" s="17">
        <f t="shared" si="7"/>
        <v>0.5253333333</v>
      </c>
      <c r="M13" s="18" t="str">
        <f t="shared" si="8"/>
        <v>✔ Great</v>
      </c>
      <c r="O13" s="32" t="s">
        <v>39</v>
      </c>
    </row>
    <row r="14" ht="39.0" customHeight="1">
      <c r="A14" s="28" t="s">
        <v>40</v>
      </c>
      <c r="B14" s="29">
        <v>6.4</v>
      </c>
      <c r="C14" s="8" t="str">
        <f t="shared" si="1"/>
        <v>12.80%</v>
      </c>
      <c r="D14" s="29">
        <v>5.0</v>
      </c>
      <c r="E14" s="8" t="str">
        <f t="shared" si="2"/>
        <v>10.00%</v>
      </c>
      <c r="F14" s="9">
        <v>13.0</v>
      </c>
      <c r="G14" s="8" t="str">
        <f t="shared" si="3"/>
        <v>26.00%</v>
      </c>
      <c r="H14" s="16">
        <f t="shared" si="4"/>
        <v>24.4</v>
      </c>
      <c r="I14" s="10" t="str">
        <f t="shared" si="5"/>
        <v>48.80%</v>
      </c>
      <c r="J14" s="25">
        <v>50.0</v>
      </c>
      <c r="K14" s="16">
        <f t="shared" si="6"/>
        <v>25.6</v>
      </c>
      <c r="L14" s="17">
        <f t="shared" si="7"/>
        <v>0.512</v>
      </c>
      <c r="M14" s="18" t="str">
        <f t="shared" si="8"/>
        <v>✔ Great</v>
      </c>
      <c r="O14" s="32" t="s">
        <v>41</v>
      </c>
    </row>
    <row r="15" ht="24.75" customHeight="1">
      <c r="A15" s="28" t="s">
        <v>42</v>
      </c>
      <c r="B15" s="29">
        <v>9.1</v>
      </c>
      <c r="C15" s="8" t="str">
        <f t="shared" si="1"/>
        <v>18.20%</v>
      </c>
      <c r="D15" s="29">
        <v>5.0</v>
      </c>
      <c r="E15" s="8" t="str">
        <f t="shared" si="2"/>
        <v>10.00%</v>
      </c>
      <c r="F15" s="9">
        <v>13.0</v>
      </c>
      <c r="G15" s="8" t="str">
        <f t="shared" si="3"/>
        <v>26.00%</v>
      </c>
      <c r="H15" s="16">
        <f t="shared" si="4"/>
        <v>27.1</v>
      </c>
      <c r="I15" s="10" t="str">
        <f t="shared" si="5"/>
        <v>54.20%</v>
      </c>
      <c r="J15" s="25">
        <v>50.0</v>
      </c>
      <c r="K15" s="16">
        <f t="shared" si="6"/>
        <v>22.9</v>
      </c>
      <c r="L15" s="17">
        <f t="shared" si="7"/>
        <v>0.458</v>
      </c>
      <c r="M15" s="18" t="str">
        <f t="shared" si="8"/>
        <v>✔ Good</v>
      </c>
    </row>
    <row r="16" ht="39.0" customHeight="1">
      <c r="A16" s="28" t="s">
        <v>43</v>
      </c>
      <c r="B16" s="29">
        <v>9.0</v>
      </c>
      <c r="C16" s="8" t="str">
        <f t="shared" si="1"/>
        <v>36.00%</v>
      </c>
      <c r="D16" s="29">
        <v>0.0</v>
      </c>
      <c r="E16" s="8" t="str">
        <f t="shared" si="2"/>
        <v>0.00%</v>
      </c>
      <c r="F16" s="9">
        <v>6.5</v>
      </c>
      <c r="G16" s="8" t="str">
        <f t="shared" si="3"/>
        <v>26.00%</v>
      </c>
      <c r="H16" s="16">
        <f t="shared" si="4"/>
        <v>15.5</v>
      </c>
      <c r="I16" s="10" t="str">
        <f t="shared" si="5"/>
        <v>62.00%</v>
      </c>
      <c r="J16" s="25">
        <v>25.0</v>
      </c>
      <c r="K16" s="16">
        <f t="shared" si="6"/>
        <v>9.5</v>
      </c>
      <c r="L16" s="17">
        <f t="shared" si="7"/>
        <v>0.38</v>
      </c>
      <c r="M16" s="18" t="str">
        <f t="shared" si="8"/>
        <v>✔ Good</v>
      </c>
    </row>
    <row r="17">
      <c r="A17" s="28" t="s">
        <v>44</v>
      </c>
      <c r="B17" s="29">
        <v>8.4</v>
      </c>
      <c r="C17" s="8" t="str">
        <f t="shared" si="1"/>
        <v>33.60%</v>
      </c>
      <c r="D17" s="29">
        <v>4.0</v>
      </c>
      <c r="E17" s="8" t="str">
        <f t="shared" si="2"/>
        <v>16.00%</v>
      </c>
      <c r="F17" s="9">
        <v>6.5</v>
      </c>
      <c r="G17" s="8" t="str">
        <f t="shared" si="3"/>
        <v>26.00%</v>
      </c>
      <c r="H17" s="16">
        <f t="shared" si="4"/>
        <v>18.9</v>
      </c>
      <c r="I17" s="10" t="str">
        <f t="shared" si="5"/>
        <v>75.60%</v>
      </c>
      <c r="J17" s="25">
        <v>25.0</v>
      </c>
      <c r="K17" s="16">
        <f t="shared" si="6"/>
        <v>6.1</v>
      </c>
      <c r="L17" s="17">
        <f t="shared" si="7"/>
        <v>0.244</v>
      </c>
      <c r="M17" s="18" t="str">
        <f t="shared" si="8"/>
        <v>△ OK</v>
      </c>
      <c r="O17" s="1" t="s">
        <v>0</v>
      </c>
      <c r="P17" s="1" t="s">
        <v>1</v>
      </c>
      <c r="Q17" s="2" t="s">
        <v>2</v>
      </c>
      <c r="R17" s="1" t="s">
        <v>3</v>
      </c>
      <c r="S17" s="2" t="s">
        <v>4</v>
      </c>
      <c r="T17" s="1" t="s">
        <v>5</v>
      </c>
      <c r="U17" s="2" t="s">
        <v>6</v>
      </c>
      <c r="V17" s="2" t="s">
        <v>7</v>
      </c>
      <c r="W17" s="2" t="s">
        <v>8</v>
      </c>
      <c r="X17" s="1" t="s">
        <v>9</v>
      </c>
      <c r="Y17" s="1" t="s">
        <v>10</v>
      </c>
      <c r="Z17" s="1" t="s">
        <v>11</v>
      </c>
      <c r="AA17" s="1" t="s">
        <v>12</v>
      </c>
    </row>
    <row r="18">
      <c r="A18" s="28" t="s">
        <v>45</v>
      </c>
      <c r="B18" s="29">
        <v>2.75</v>
      </c>
      <c r="C18" s="8" t="str">
        <f t="shared" si="1"/>
        <v>18.33%</v>
      </c>
      <c r="D18" s="29">
        <v>4.0</v>
      </c>
      <c r="E18" s="8" t="str">
        <f t="shared" si="2"/>
        <v>26.67%</v>
      </c>
      <c r="F18" s="9">
        <v>4.0</v>
      </c>
      <c r="G18" s="8" t="str">
        <f t="shared" si="3"/>
        <v>26.67%</v>
      </c>
      <c r="H18" s="16">
        <f t="shared" si="4"/>
        <v>10.75</v>
      </c>
      <c r="I18" s="10" t="str">
        <f t="shared" si="5"/>
        <v>71.67%</v>
      </c>
      <c r="J18" s="25">
        <v>15.0</v>
      </c>
      <c r="K18" s="16">
        <f t="shared" si="6"/>
        <v>4.25</v>
      </c>
      <c r="L18" s="17">
        <f t="shared" si="7"/>
        <v>0.2833333333</v>
      </c>
      <c r="M18" s="18" t="str">
        <f t="shared" si="8"/>
        <v>△ OK</v>
      </c>
      <c r="O18" s="33" t="s">
        <v>46</v>
      </c>
    </row>
    <row r="19" ht="36.0" customHeight="1">
      <c r="A19" s="28" t="s">
        <v>47</v>
      </c>
      <c r="B19" s="29">
        <v>5.5</v>
      </c>
      <c r="C19" s="8" t="str">
        <f t="shared" si="1"/>
        <v>27.50%</v>
      </c>
      <c r="D19" s="29">
        <v>4.0</v>
      </c>
      <c r="E19" s="8" t="str">
        <f t="shared" si="2"/>
        <v>20.00%</v>
      </c>
      <c r="F19" s="9">
        <v>5.0</v>
      </c>
      <c r="G19" s="8" t="str">
        <f t="shared" si="3"/>
        <v>25.00%</v>
      </c>
      <c r="H19" s="16">
        <f t="shared" si="4"/>
        <v>14.5</v>
      </c>
      <c r="I19" s="10" t="str">
        <f t="shared" si="5"/>
        <v>72.50%</v>
      </c>
      <c r="J19" s="25">
        <v>20.0</v>
      </c>
      <c r="K19" s="16">
        <f t="shared" si="6"/>
        <v>5.5</v>
      </c>
      <c r="L19" s="17">
        <f t="shared" si="7"/>
        <v>0.275</v>
      </c>
      <c r="M19" s="18" t="str">
        <f t="shared" si="8"/>
        <v>△ OK</v>
      </c>
      <c r="O19" s="34" t="s">
        <v>48</v>
      </c>
      <c r="P19" s="29">
        <v>62.0</v>
      </c>
      <c r="Q19" s="8" t="str">
        <f t="shared" ref="Q19:Q23" si="9">TEXT(P19 / X19, "0.00%")</f>
        <v>41.33%</v>
      </c>
      <c r="R19" s="29">
        <v>0.0</v>
      </c>
      <c r="S19" s="8" t="str">
        <f t="shared" ref="S19:S23" si="10">TEXT(R19 / X19, "0.00%")</f>
        <v>0.00%</v>
      </c>
      <c r="T19" s="9">
        <v>30.0</v>
      </c>
      <c r="U19" s="8" t="str">
        <f t="shared" ref="U19:U23" si="11">TEXT(T19 / X19, "0.00%")</f>
        <v>20.00%</v>
      </c>
      <c r="V19" s="16">
        <f t="shared" ref="V19:V23" si="12">P19+R19+T19</f>
        <v>92</v>
      </c>
      <c r="W19" s="10" t="str">
        <f t="shared" ref="W19:W23" si="13">TEXT(V19 / X19, "0.00%")</f>
        <v>61.33%</v>
      </c>
      <c r="X19" s="25">
        <v>150.0</v>
      </c>
      <c r="Y19" s="16">
        <f t="shared" ref="Y19:Y23" si="14">X19-V19</f>
        <v>58</v>
      </c>
      <c r="Z19" s="17">
        <f t="shared" ref="Z19:Z23" si="15">IF(X19&gt;0,(X19-V19)/X19,0)</f>
        <v>0.3866666667</v>
      </c>
      <c r="AA19" s="18" t="str">
        <f t="shared" ref="AA19:AA23" si="16">IF(Z19&gt;=0.5,"✔ Great",IF(Z19&gt;=0.35,"✔ Good",IF(Z19&gt;=0.2,"△ OK","✘ Low")))</f>
        <v>✔ Good</v>
      </c>
    </row>
    <row r="20" ht="27.75" customHeight="1">
      <c r="A20" s="28" t="s">
        <v>49</v>
      </c>
      <c r="B20" s="29">
        <v>3.8</v>
      </c>
      <c r="C20" s="8" t="str">
        <f t="shared" si="1"/>
        <v>6.33%</v>
      </c>
      <c r="D20" s="29">
        <v>8.0</v>
      </c>
      <c r="E20" s="8" t="str">
        <f t="shared" si="2"/>
        <v>13.33%</v>
      </c>
      <c r="F20" s="9">
        <v>15.0</v>
      </c>
      <c r="G20" s="8" t="str">
        <f t="shared" si="3"/>
        <v>25.00%</v>
      </c>
      <c r="H20" s="16">
        <f t="shared" si="4"/>
        <v>26.8</v>
      </c>
      <c r="I20" s="10" t="str">
        <f t="shared" si="5"/>
        <v>44.67%</v>
      </c>
      <c r="J20" s="25">
        <v>60.0</v>
      </c>
      <c r="K20" s="16">
        <f t="shared" si="6"/>
        <v>33.2</v>
      </c>
      <c r="L20" s="17">
        <f t="shared" si="7"/>
        <v>0.5533333333</v>
      </c>
      <c r="M20" s="18" t="str">
        <f t="shared" si="8"/>
        <v>✔ Great</v>
      </c>
      <c r="O20" s="34" t="s">
        <v>50</v>
      </c>
      <c r="P20" s="29">
        <v>22.0</v>
      </c>
      <c r="Q20" s="8" t="str">
        <f t="shared" si="9"/>
        <v>25.88%</v>
      </c>
      <c r="R20" s="29">
        <v>20.0</v>
      </c>
      <c r="S20" s="8" t="str">
        <f t="shared" si="10"/>
        <v>23.53%</v>
      </c>
      <c r="T20" s="9">
        <v>20.0</v>
      </c>
      <c r="U20" s="8" t="str">
        <f t="shared" si="11"/>
        <v>23.53%</v>
      </c>
      <c r="V20" s="16">
        <f t="shared" si="12"/>
        <v>62</v>
      </c>
      <c r="W20" s="10" t="str">
        <f t="shared" si="13"/>
        <v>72.94%</v>
      </c>
      <c r="X20" s="25">
        <v>85.0</v>
      </c>
      <c r="Y20" s="16">
        <f t="shared" si="14"/>
        <v>23</v>
      </c>
      <c r="Z20" s="17">
        <f t="shared" si="15"/>
        <v>0.2705882353</v>
      </c>
      <c r="AA20" s="18" t="str">
        <f t="shared" si="16"/>
        <v>△ OK</v>
      </c>
    </row>
    <row r="21" ht="37.5" customHeight="1">
      <c r="A21" s="28" t="s">
        <v>51</v>
      </c>
      <c r="C21" s="8" t="str">
        <f t="shared" ref="C21:C22" si="17">TEXT(B22 / J21, "0.00%")</f>
        <v>6.76%</v>
      </c>
      <c r="D21" s="29">
        <v>5.0</v>
      </c>
      <c r="E21" s="8" t="str">
        <f t="shared" si="2"/>
        <v>20.00%</v>
      </c>
      <c r="F21" s="9">
        <v>6.5</v>
      </c>
      <c r="G21" s="8" t="str">
        <f t="shared" si="3"/>
        <v>26.00%</v>
      </c>
      <c r="H21" s="16">
        <f t="shared" ref="H21:H22" si="18">B22+D21+F21</f>
        <v>13.19</v>
      </c>
      <c r="I21" s="10" t="str">
        <f t="shared" si="5"/>
        <v>52.76%</v>
      </c>
      <c r="J21" s="25">
        <v>25.0</v>
      </c>
      <c r="K21" s="16">
        <f t="shared" si="6"/>
        <v>11.81</v>
      </c>
      <c r="L21" s="17">
        <f t="shared" si="7"/>
        <v>0.4724</v>
      </c>
      <c r="M21" s="18" t="str">
        <f t="shared" si="8"/>
        <v>✔ Good</v>
      </c>
      <c r="O21" s="34" t="s">
        <v>52</v>
      </c>
      <c r="P21" s="29">
        <v>3.54</v>
      </c>
      <c r="Q21" s="8" t="str">
        <f t="shared" si="9"/>
        <v>10.11%</v>
      </c>
      <c r="R21" s="29">
        <v>10.0</v>
      </c>
      <c r="S21" s="8" t="str">
        <f t="shared" si="10"/>
        <v>28.57%</v>
      </c>
      <c r="T21" s="9">
        <v>8.0</v>
      </c>
      <c r="U21" s="8" t="str">
        <f t="shared" si="11"/>
        <v>22.86%</v>
      </c>
      <c r="V21" s="16">
        <f t="shared" si="12"/>
        <v>21.54</v>
      </c>
      <c r="W21" s="10" t="str">
        <f t="shared" si="13"/>
        <v>61.54%</v>
      </c>
      <c r="X21" s="25">
        <v>35.0</v>
      </c>
      <c r="Y21" s="16">
        <f t="shared" si="14"/>
        <v>13.46</v>
      </c>
      <c r="Z21" s="17">
        <f t="shared" si="15"/>
        <v>0.3845714286</v>
      </c>
      <c r="AA21" s="18" t="str">
        <f t="shared" si="16"/>
        <v>✔ Good</v>
      </c>
    </row>
    <row r="22" ht="15.75" customHeight="1">
      <c r="A22" s="28" t="s">
        <v>53</v>
      </c>
      <c r="B22" s="29">
        <v>1.69</v>
      </c>
      <c r="C22" s="8" t="str">
        <f t="shared" si="17"/>
        <v>13.00%</v>
      </c>
      <c r="D22" s="29">
        <v>1.0</v>
      </c>
      <c r="E22" s="8" t="str">
        <f t="shared" si="2"/>
        <v>2.00%</v>
      </c>
      <c r="F22" s="9">
        <v>12.5</v>
      </c>
      <c r="G22" s="8" t="str">
        <f t="shared" si="3"/>
        <v>25.00%</v>
      </c>
      <c r="H22" s="16">
        <f t="shared" si="18"/>
        <v>20</v>
      </c>
      <c r="I22" s="10" t="str">
        <f t="shared" si="5"/>
        <v>40.00%</v>
      </c>
      <c r="J22" s="25">
        <v>50.0</v>
      </c>
      <c r="K22" s="16">
        <f t="shared" si="6"/>
        <v>30</v>
      </c>
      <c r="L22" s="17">
        <f t="shared" si="7"/>
        <v>0.6</v>
      </c>
      <c r="M22" s="18" t="str">
        <f t="shared" si="8"/>
        <v>✔ Great</v>
      </c>
      <c r="O22" s="34" t="s">
        <v>52</v>
      </c>
      <c r="P22" s="29">
        <v>2.0</v>
      </c>
      <c r="Q22" s="8" t="str">
        <f t="shared" si="9"/>
        <v>13.33%</v>
      </c>
      <c r="R22" s="29">
        <v>1.0</v>
      </c>
      <c r="S22" s="8" t="str">
        <f t="shared" si="10"/>
        <v>6.67%</v>
      </c>
      <c r="T22" s="9">
        <v>5.0</v>
      </c>
      <c r="U22" s="8" t="str">
        <f t="shared" si="11"/>
        <v>33.33%</v>
      </c>
      <c r="V22" s="16">
        <f t="shared" si="12"/>
        <v>8</v>
      </c>
      <c r="W22" s="10" t="str">
        <f t="shared" si="13"/>
        <v>53.33%</v>
      </c>
      <c r="X22" s="25">
        <v>15.0</v>
      </c>
      <c r="Y22" s="16">
        <f t="shared" si="14"/>
        <v>7</v>
      </c>
      <c r="Z22" s="17">
        <f t="shared" si="15"/>
        <v>0.4666666667</v>
      </c>
      <c r="AA22" s="18" t="str">
        <f t="shared" si="16"/>
        <v>✔ Good</v>
      </c>
    </row>
    <row r="23" ht="15.75" customHeight="1">
      <c r="A23" s="28" t="s">
        <v>54</v>
      </c>
      <c r="B23" s="29">
        <v>6.5</v>
      </c>
      <c r="C23" s="8" t="str">
        <f t="shared" ref="C23:C34" si="19">TEXT(B23 / J23, "0.00%")</f>
        <v>18.57%</v>
      </c>
      <c r="D23" s="29">
        <v>1.0</v>
      </c>
      <c r="E23" s="8" t="str">
        <f t="shared" si="2"/>
        <v>2.86%</v>
      </c>
      <c r="F23" s="9">
        <v>9.0</v>
      </c>
      <c r="G23" s="8" t="str">
        <f t="shared" si="3"/>
        <v>25.71%</v>
      </c>
      <c r="H23" s="16">
        <f t="shared" ref="H23:H34" si="20">B23+D23+F23</f>
        <v>16.5</v>
      </c>
      <c r="I23" s="10" t="str">
        <f t="shared" si="5"/>
        <v>47.14%</v>
      </c>
      <c r="J23" s="25">
        <v>35.0</v>
      </c>
      <c r="K23" s="16">
        <f t="shared" si="6"/>
        <v>18.5</v>
      </c>
      <c r="L23" s="17">
        <f t="shared" si="7"/>
        <v>0.5285714286</v>
      </c>
      <c r="M23" s="18" t="str">
        <f t="shared" si="8"/>
        <v>✔ Great</v>
      </c>
      <c r="O23" s="28" t="s">
        <v>49</v>
      </c>
      <c r="P23" s="29">
        <v>3.8</v>
      </c>
      <c r="Q23" s="8" t="str">
        <f t="shared" si="9"/>
        <v>10.86%</v>
      </c>
      <c r="R23" s="29">
        <v>3.0</v>
      </c>
      <c r="S23" s="8" t="str">
        <f t="shared" si="10"/>
        <v>8.57%</v>
      </c>
      <c r="T23" s="9">
        <v>8.0</v>
      </c>
      <c r="U23" s="8" t="str">
        <f t="shared" si="11"/>
        <v>22.86%</v>
      </c>
      <c r="V23" s="16">
        <f t="shared" si="12"/>
        <v>14.8</v>
      </c>
      <c r="W23" s="10" t="str">
        <f t="shared" si="13"/>
        <v>42.29%</v>
      </c>
      <c r="X23" s="25">
        <v>35.0</v>
      </c>
      <c r="Y23" s="16">
        <f t="shared" si="14"/>
        <v>20.2</v>
      </c>
      <c r="Z23" s="17">
        <f t="shared" si="15"/>
        <v>0.5771428571</v>
      </c>
      <c r="AA23" s="18" t="str">
        <f t="shared" si="16"/>
        <v>✔ Great</v>
      </c>
    </row>
    <row r="24" ht="15.75" customHeight="1">
      <c r="A24" s="28" t="s">
        <v>55</v>
      </c>
      <c r="B24" s="29">
        <v>1.4</v>
      </c>
      <c r="C24" s="8" t="str">
        <f t="shared" si="19"/>
        <v>7.00%</v>
      </c>
      <c r="D24" s="29">
        <v>1.0</v>
      </c>
      <c r="E24" s="8" t="str">
        <f t="shared" si="2"/>
        <v>5.00%</v>
      </c>
      <c r="F24" s="9">
        <v>5.0</v>
      </c>
      <c r="G24" s="8" t="str">
        <f t="shared" si="3"/>
        <v>25.00%</v>
      </c>
      <c r="H24" s="16">
        <f t="shared" si="20"/>
        <v>7.4</v>
      </c>
      <c r="I24" s="10" t="str">
        <f t="shared" si="5"/>
        <v>37.00%</v>
      </c>
      <c r="J24" s="25">
        <v>20.0</v>
      </c>
      <c r="K24" s="16">
        <f t="shared" si="6"/>
        <v>12.6</v>
      </c>
      <c r="L24" s="17">
        <f t="shared" si="7"/>
        <v>0.63</v>
      </c>
      <c r="M24" s="18" t="str">
        <f t="shared" si="8"/>
        <v>✔ Great</v>
      </c>
    </row>
    <row r="25" ht="15.75" customHeight="1">
      <c r="A25" s="28" t="s">
        <v>56</v>
      </c>
      <c r="B25" s="29">
        <v>35.4</v>
      </c>
      <c r="C25" s="8" t="str">
        <f t="shared" si="19"/>
        <v>23.60%</v>
      </c>
      <c r="D25" s="29">
        <v>5.0</v>
      </c>
      <c r="E25" s="8" t="str">
        <f t="shared" si="2"/>
        <v>3.33%</v>
      </c>
      <c r="F25" s="9">
        <v>40.0</v>
      </c>
      <c r="G25" s="8" t="str">
        <f t="shared" si="3"/>
        <v>26.67%</v>
      </c>
      <c r="H25" s="16">
        <f t="shared" si="20"/>
        <v>80.4</v>
      </c>
      <c r="I25" s="10" t="str">
        <f t="shared" si="5"/>
        <v>53.60%</v>
      </c>
      <c r="J25" s="25">
        <v>150.0</v>
      </c>
      <c r="K25" s="16">
        <f t="shared" si="6"/>
        <v>69.6</v>
      </c>
      <c r="L25" s="17">
        <f t="shared" si="7"/>
        <v>0.464</v>
      </c>
      <c r="M25" s="18" t="str">
        <f t="shared" si="8"/>
        <v>✔ Good</v>
      </c>
    </row>
    <row r="26" ht="15.75" customHeight="1">
      <c r="A26" s="34" t="s">
        <v>50</v>
      </c>
      <c r="B26" s="29">
        <v>4.0</v>
      </c>
      <c r="C26" s="8" t="str">
        <f t="shared" si="19"/>
        <v>8.00%</v>
      </c>
      <c r="D26" s="29">
        <v>5.0</v>
      </c>
      <c r="E26" s="8" t="str">
        <f t="shared" si="2"/>
        <v>10.00%</v>
      </c>
      <c r="F26" s="9">
        <v>12.5</v>
      </c>
      <c r="G26" s="8" t="str">
        <f t="shared" si="3"/>
        <v>25.00%</v>
      </c>
      <c r="H26" s="16">
        <f t="shared" si="20"/>
        <v>21.5</v>
      </c>
      <c r="I26" s="10" t="str">
        <f t="shared" si="5"/>
        <v>43.00%</v>
      </c>
      <c r="J26" s="25">
        <v>50.0</v>
      </c>
      <c r="K26" s="16">
        <f t="shared" si="6"/>
        <v>28.5</v>
      </c>
      <c r="L26" s="17">
        <f t="shared" si="7"/>
        <v>0.57</v>
      </c>
      <c r="M26" s="18" t="str">
        <f t="shared" si="8"/>
        <v>✔ Great</v>
      </c>
    </row>
    <row r="27" ht="15.75" customHeight="1">
      <c r="A27" s="34" t="s">
        <v>57</v>
      </c>
      <c r="B27" s="29">
        <v>2.0</v>
      </c>
      <c r="C27" s="8" t="str">
        <f t="shared" si="19"/>
        <v>8.00%</v>
      </c>
      <c r="D27" s="29">
        <v>5.0</v>
      </c>
      <c r="E27" s="8" t="str">
        <f t="shared" si="2"/>
        <v>20.00%</v>
      </c>
      <c r="F27" s="9">
        <v>6.5</v>
      </c>
      <c r="G27" s="8" t="str">
        <f t="shared" si="3"/>
        <v>26.00%</v>
      </c>
      <c r="H27" s="16">
        <f t="shared" si="20"/>
        <v>13.5</v>
      </c>
      <c r="I27" s="10" t="str">
        <f t="shared" si="5"/>
        <v>54.00%</v>
      </c>
      <c r="J27" s="25">
        <v>25.0</v>
      </c>
      <c r="K27" s="16">
        <f t="shared" si="6"/>
        <v>11.5</v>
      </c>
      <c r="L27" s="17">
        <f t="shared" si="7"/>
        <v>0.46</v>
      </c>
      <c r="M27" s="18" t="str">
        <f t="shared" si="8"/>
        <v>✔ Good</v>
      </c>
    </row>
    <row r="28" ht="15.75" customHeight="1">
      <c r="A28" s="34" t="s">
        <v>52</v>
      </c>
      <c r="B28" s="29">
        <v>3.54</v>
      </c>
      <c r="C28" s="8" t="str">
        <f t="shared" si="19"/>
        <v>11.80%</v>
      </c>
      <c r="D28" s="29">
        <v>5.0</v>
      </c>
      <c r="E28" s="8" t="str">
        <f t="shared" si="2"/>
        <v>16.67%</v>
      </c>
      <c r="F28" s="9">
        <v>12.0</v>
      </c>
      <c r="G28" s="8" t="str">
        <f t="shared" si="3"/>
        <v>40.00%</v>
      </c>
      <c r="H28" s="16">
        <f t="shared" si="20"/>
        <v>20.54</v>
      </c>
      <c r="I28" s="10" t="str">
        <f t="shared" si="5"/>
        <v>68.47%</v>
      </c>
      <c r="J28" s="25">
        <v>30.0</v>
      </c>
      <c r="K28" s="16">
        <f t="shared" si="6"/>
        <v>9.46</v>
      </c>
      <c r="L28" s="17">
        <f t="shared" si="7"/>
        <v>0.3153333333</v>
      </c>
      <c r="M28" s="18" t="str">
        <f t="shared" si="8"/>
        <v>△ OK</v>
      </c>
      <c r="O28" s="33" t="s">
        <v>58</v>
      </c>
    </row>
    <row r="29" ht="15.75" customHeight="1">
      <c r="A29" s="34" t="s">
        <v>59</v>
      </c>
      <c r="B29" s="29">
        <v>15.0</v>
      </c>
      <c r="C29" s="8" t="str">
        <f t="shared" si="19"/>
        <v>30.00%</v>
      </c>
      <c r="D29" s="29">
        <v>0.0</v>
      </c>
      <c r="E29" s="8" t="str">
        <f t="shared" si="2"/>
        <v>0.00%</v>
      </c>
      <c r="F29" s="9">
        <v>12.5</v>
      </c>
      <c r="G29" s="8" t="str">
        <f t="shared" si="3"/>
        <v>25.00%</v>
      </c>
      <c r="H29" s="16">
        <f t="shared" si="20"/>
        <v>27.5</v>
      </c>
      <c r="I29" s="10" t="str">
        <f t="shared" si="5"/>
        <v>55.00%</v>
      </c>
      <c r="J29" s="25">
        <v>50.0</v>
      </c>
      <c r="K29" s="16">
        <f t="shared" si="6"/>
        <v>22.5</v>
      </c>
      <c r="L29" s="17">
        <f t="shared" si="7"/>
        <v>0.45</v>
      </c>
      <c r="M29" s="18" t="str">
        <f t="shared" si="8"/>
        <v>✔ Good</v>
      </c>
    </row>
    <row r="30" ht="15.75" customHeight="1">
      <c r="A30" s="34" t="s">
        <v>60</v>
      </c>
      <c r="B30" s="29">
        <v>50.0</v>
      </c>
      <c r="C30" s="8" t="str">
        <f t="shared" si="19"/>
        <v>33.33%</v>
      </c>
      <c r="D30" s="29">
        <v>0.0</v>
      </c>
      <c r="E30" s="8" t="str">
        <f t="shared" si="2"/>
        <v>0.00%</v>
      </c>
      <c r="F30" s="9">
        <v>40.0</v>
      </c>
      <c r="G30" s="8" t="str">
        <f t="shared" si="3"/>
        <v>26.67%</v>
      </c>
      <c r="H30" s="16">
        <f t="shared" si="20"/>
        <v>90</v>
      </c>
      <c r="I30" s="10" t="str">
        <f t="shared" si="5"/>
        <v>60.00%</v>
      </c>
      <c r="J30" s="25">
        <v>150.0</v>
      </c>
      <c r="K30" s="16">
        <f t="shared" si="6"/>
        <v>60</v>
      </c>
      <c r="L30" s="17">
        <f t="shared" si="7"/>
        <v>0.4</v>
      </c>
      <c r="M30" s="18" t="str">
        <f t="shared" si="8"/>
        <v>✔ Good</v>
      </c>
    </row>
    <row r="31" ht="15.75" customHeight="1">
      <c r="A31" s="34" t="s">
        <v>61</v>
      </c>
      <c r="B31" s="29">
        <v>12.0</v>
      </c>
      <c r="C31" s="8" t="str">
        <f t="shared" si="19"/>
        <v>12.00%</v>
      </c>
      <c r="D31" s="29">
        <v>0.0</v>
      </c>
      <c r="E31" s="8" t="str">
        <f t="shared" si="2"/>
        <v>0.00%</v>
      </c>
      <c r="F31" s="9">
        <v>25.0</v>
      </c>
      <c r="G31" s="8" t="str">
        <f t="shared" si="3"/>
        <v>25.00%</v>
      </c>
      <c r="H31" s="16">
        <f t="shared" si="20"/>
        <v>37</v>
      </c>
      <c r="I31" s="10" t="str">
        <f t="shared" si="5"/>
        <v>37.00%</v>
      </c>
      <c r="J31" s="25">
        <v>100.0</v>
      </c>
      <c r="K31" s="16">
        <f t="shared" si="6"/>
        <v>63</v>
      </c>
      <c r="L31" s="17">
        <f t="shared" si="7"/>
        <v>0.63</v>
      </c>
      <c r="M31" s="18" t="str">
        <f t="shared" si="8"/>
        <v>✔ Great</v>
      </c>
    </row>
    <row r="32" ht="15.75" customHeight="1">
      <c r="A32" s="28" t="s">
        <v>62</v>
      </c>
      <c r="B32" s="29">
        <v>9.0</v>
      </c>
      <c r="C32" s="8" t="str">
        <f t="shared" si="19"/>
        <v>25.71%</v>
      </c>
      <c r="D32" s="29">
        <v>0.0</v>
      </c>
      <c r="E32" s="8" t="str">
        <f t="shared" si="2"/>
        <v>0.00%</v>
      </c>
      <c r="F32" s="9">
        <v>9.0</v>
      </c>
      <c r="G32" s="8" t="str">
        <f t="shared" si="3"/>
        <v>25.71%</v>
      </c>
      <c r="H32" s="16">
        <f t="shared" si="20"/>
        <v>18</v>
      </c>
      <c r="I32" s="10" t="str">
        <f t="shared" si="5"/>
        <v>51.43%</v>
      </c>
      <c r="J32" s="25">
        <v>35.0</v>
      </c>
      <c r="K32" s="16">
        <f t="shared" si="6"/>
        <v>17</v>
      </c>
      <c r="L32" s="17">
        <f t="shared" si="7"/>
        <v>0.4857142857</v>
      </c>
      <c r="M32" s="18" t="str">
        <f t="shared" si="8"/>
        <v>✔ Good</v>
      </c>
    </row>
    <row r="33" ht="15.75" customHeight="1">
      <c r="A33" s="28" t="s">
        <v>63</v>
      </c>
      <c r="B33" s="29">
        <v>4.0</v>
      </c>
      <c r="C33" s="8" t="str">
        <f t="shared" si="19"/>
        <v>11.43%</v>
      </c>
      <c r="D33" s="29">
        <v>5.0</v>
      </c>
      <c r="E33" s="8" t="str">
        <f t="shared" si="2"/>
        <v>14.29%</v>
      </c>
      <c r="F33" s="9">
        <v>9.0</v>
      </c>
      <c r="G33" s="8" t="str">
        <f t="shared" si="3"/>
        <v>25.71%</v>
      </c>
      <c r="H33" s="16">
        <f t="shared" si="20"/>
        <v>18</v>
      </c>
      <c r="I33" s="10" t="str">
        <f t="shared" si="5"/>
        <v>51.43%</v>
      </c>
      <c r="J33" s="25">
        <v>35.0</v>
      </c>
      <c r="K33" s="16">
        <f t="shared" si="6"/>
        <v>17</v>
      </c>
      <c r="L33" s="17">
        <f t="shared" si="7"/>
        <v>0.4857142857</v>
      </c>
      <c r="M33" s="18" t="str">
        <f t="shared" si="8"/>
        <v>✔ Good</v>
      </c>
    </row>
    <row r="34" ht="15.75" customHeight="1">
      <c r="A34" s="28" t="s">
        <v>64</v>
      </c>
      <c r="B34" s="29">
        <v>12.0</v>
      </c>
      <c r="C34" s="8" t="str">
        <f t="shared" si="19"/>
        <v>40.00%</v>
      </c>
      <c r="D34" s="29">
        <v>0.0</v>
      </c>
      <c r="E34" s="8" t="str">
        <f t="shared" si="2"/>
        <v>0.00%</v>
      </c>
      <c r="F34" s="9">
        <v>9.0</v>
      </c>
      <c r="G34" s="8" t="str">
        <f t="shared" si="3"/>
        <v>30.00%</v>
      </c>
      <c r="H34" s="16">
        <f t="shared" si="20"/>
        <v>21</v>
      </c>
      <c r="I34" s="10" t="str">
        <f t="shared" si="5"/>
        <v>70.00%</v>
      </c>
      <c r="J34" s="25">
        <v>30.0</v>
      </c>
      <c r="K34" s="16">
        <f t="shared" si="6"/>
        <v>9</v>
      </c>
      <c r="L34" s="17">
        <f t="shared" si="7"/>
        <v>0.3</v>
      </c>
      <c r="M34" s="18" t="str">
        <f t="shared" si="8"/>
        <v>△ OK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O1:W1"/>
    <mergeCell ref="O2:W2"/>
    <mergeCell ref="O6:W6"/>
    <mergeCell ref="O7:W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2026-05-01T06:19:52Z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